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edep\Desktop\lezioni uni\Magistrale\First year\Second Semester\POCI (Processes of the Organic Chemical Iindustry)\Excel FIles\"/>
    </mc:Choice>
  </mc:AlternateContent>
  <xr:revisionPtr revIDLastSave="0" documentId="13_ncr:1_{9CD2A31E-BE0D-44C4-898F-DBB8E8EE2E17}" xr6:coauthVersionLast="47" xr6:coauthVersionMax="47" xr10:uidLastSave="{00000000-0000-0000-0000-000000000000}"/>
  <bookViews>
    <workbookView xWindow="-108" yWindow="-108" windowWidth="23256" windowHeight="12456" xr2:uid="{6ED2B133-F318-4949-B732-FDB747F148CD}"/>
  </bookViews>
  <sheets>
    <sheet name="Sheet1" sheetId="1" r:id="rId1"/>
  </sheets>
  <functionGroups builtInGroupCount="19"/>
  <definedNames>
    <definedName name="solver_adj" localSheetId="0" hidden="1">Sheet1!$R$43:$T$43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Sheet1!$S$41</definedName>
    <definedName name="solver_lhs2" localSheetId="0" hidden="1">Sheet1!$T$41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Sheet1!$R$41</definedName>
    <definedName name="solver_pre" localSheetId="0" hidden="1">0.000000000001</definedName>
    <definedName name="solver_rbv" localSheetId="0" hidden="1">1</definedName>
    <definedName name="solver_rel1" localSheetId="0" hidden="1">2</definedName>
    <definedName name="solver_rel2" localSheetId="0" hidden="1">2</definedName>
    <definedName name="solver_rhs1" localSheetId="0" hidden="1">0</definedName>
    <definedName name="solver_rhs2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3" i="1" l="1"/>
  <c r="K47" i="1" l="1"/>
  <c r="B15" i="1"/>
  <c r="W41" i="1" s="1"/>
  <c r="D28" i="1"/>
  <c r="E32" i="1"/>
  <c r="E33" i="1"/>
  <c r="E34" i="1"/>
  <c r="E35" i="1"/>
  <c r="E36" i="1"/>
  <c r="E37" i="1"/>
  <c r="E31" i="1"/>
  <c r="E54" i="1" a="1"/>
  <c r="E55" i="1" a="1"/>
  <c r="E56" i="1" a="1"/>
  <c r="E53" i="1" a="1"/>
  <c r="E57" i="1" a="1"/>
  <c r="E52" i="1" a="1"/>
  <c r="E51" i="1" a="1"/>
  <c r="O50" i="1" l="1"/>
  <c r="S47" i="1"/>
  <c r="V41" i="1"/>
  <c r="E28" i="1"/>
  <c r="E20" i="1" s="1"/>
  <c r="E52" i="1"/>
  <c r="E57" i="1"/>
  <c r="E53" i="1"/>
  <c r="E56" i="1"/>
  <c r="E55" i="1"/>
  <c r="E54" i="1"/>
  <c r="E51" i="1"/>
  <c r="M41" i="1"/>
  <c r="L41" i="1"/>
  <c r="E40" i="1" a="1"/>
  <c r="E25" i="1" l="1"/>
  <c r="E22" i="1"/>
  <c r="E21" i="1"/>
  <c r="E26" i="1"/>
  <c r="E23" i="1"/>
  <c r="E24" i="1"/>
  <c r="E40" i="1"/>
  <c r="E60" i="1"/>
  <c r="C37" i="1"/>
  <c r="C31" i="1"/>
  <c r="B32" i="1"/>
  <c r="B33" i="1"/>
  <c r="B34" i="1"/>
  <c r="B35" i="1"/>
  <c r="B36" i="1"/>
  <c r="B37" i="1"/>
  <c r="B31" i="1"/>
  <c r="E45" i="1" a="1"/>
  <c r="E42" i="1" a="1"/>
  <c r="E41" i="1" a="1"/>
  <c r="E46" i="1" a="1"/>
  <c r="E43" i="1" a="1"/>
  <c r="E44" i="1" a="1"/>
  <c r="B57" i="1" a="1"/>
  <c r="B51" i="1" a="1"/>
  <c r="B52" i="1" a="1"/>
  <c r="B54" i="1" a="1"/>
  <c r="B55" i="1" a="1"/>
  <c r="C51" i="1" a="1"/>
  <c r="D51" i="1" a="1"/>
  <c r="C57" i="1" a="1"/>
  <c r="D57" i="1" a="1"/>
  <c r="B53" i="1" a="1"/>
  <c r="B56" i="1" a="1"/>
  <c r="E42" i="1" l="1"/>
  <c r="E45" i="1"/>
  <c r="E41" i="1"/>
  <c r="E44" i="1"/>
  <c r="E43" i="1"/>
  <c r="E46" i="1"/>
  <c r="B56" i="1"/>
  <c r="B53" i="1"/>
  <c r="D57" i="1"/>
  <c r="C57" i="1"/>
  <c r="D51" i="1"/>
  <c r="C51" i="1"/>
  <c r="B55" i="1"/>
  <c r="B54" i="1"/>
  <c r="B52" i="1"/>
  <c r="B51" i="1"/>
  <c r="B60" i="1" s="1"/>
  <c r="B57" i="1"/>
  <c r="C36" i="1"/>
  <c r="C33" i="1"/>
  <c r="C35" i="1"/>
  <c r="C34" i="1"/>
  <c r="C32" i="1"/>
  <c r="S41" i="1" a="1"/>
  <c r="R41" i="1" a="1"/>
  <c r="C53" i="1" a="1"/>
  <c r="D53" i="1" a="1"/>
  <c r="C54" i="1" a="1"/>
  <c r="D54" i="1" a="1"/>
  <c r="C52" i="1" a="1"/>
  <c r="D52" i="1" a="1"/>
  <c r="C56" i="1" a="1"/>
  <c r="D56" i="1" a="1"/>
  <c r="C55" i="1" a="1"/>
  <c r="D55" i="1" a="1"/>
  <c r="R41" i="1" l="1"/>
  <c r="S41" i="1"/>
  <c r="D55" i="1"/>
  <c r="C55" i="1"/>
  <c r="D56" i="1"/>
  <c r="C56" i="1"/>
  <c r="D52" i="1"/>
  <c r="C52" i="1"/>
  <c r="D54" i="1"/>
  <c r="C54" i="1"/>
  <c r="D53" i="1"/>
  <c r="C53" i="1"/>
  <c r="D60" i="1"/>
  <c r="C60" i="1"/>
  <c r="C28" i="1"/>
  <c r="C21" i="1" s="1"/>
  <c r="C25" i="1"/>
  <c r="C20" i="1"/>
  <c r="C26" i="1"/>
  <c r="C23" i="1"/>
  <c r="C41" i="1" a="1"/>
  <c r="C40" i="1" a="1"/>
  <c r="C43" i="1" a="1"/>
  <c r="C45" i="1" a="1"/>
  <c r="C46" i="1" a="1"/>
  <c r="C41" i="1" l="1"/>
  <c r="B65" i="1"/>
  <c r="T41" i="1"/>
  <c r="C24" i="1"/>
  <c r="C22" i="1"/>
  <c r="C45" i="1"/>
  <c r="C43" i="1"/>
  <c r="C46" i="1"/>
  <c r="C40" i="1"/>
  <c r="C44" i="1" a="1"/>
  <c r="C42" i="1" a="1"/>
  <c r="C42" i="1" l="1"/>
  <c r="C44" i="1"/>
  <c r="K41" i="1" a="1"/>
  <c r="J41" i="1" a="1"/>
  <c r="J41" i="1" l="1"/>
  <c r="K4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<sst xmlns="http://schemas.openxmlformats.org/spreadsheetml/2006/main" count="89" uniqueCount="62">
  <si>
    <t>K</t>
  </si>
  <si>
    <t>T3</t>
  </si>
  <si>
    <t>T2</t>
  </si>
  <si>
    <t>bar</t>
  </si>
  <si>
    <t>P</t>
  </si>
  <si>
    <t>T1</t>
  </si>
  <si>
    <r>
      <t>CH</t>
    </r>
    <r>
      <rPr>
        <vertAlign val="subscript"/>
        <sz val="11"/>
        <color theme="1"/>
        <rFont val="Calibri"/>
        <family val="2"/>
        <scheme val="minor"/>
      </rPr>
      <t>4</t>
    </r>
  </si>
  <si>
    <r>
      <t>N</t>
    </r>
    <r>
      <rPr>
        <vertAlign val="subscript"/>
        <sz val="11"/>
        <color theme="1"/>
        <rFont val="Calibri"/>
        <family val="2"/>
        <scheme val="minor"/>
      </rPr>
      <t>2</t>
    </r>
  </si>
  <si>
    <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OH</t>
    </r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</si>
  <si>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</si>
  <si>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</si>
  <si>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</si>
  <si>
    <t>CO</t>
  </si>
  <si>
    <t>ω [-]</t>
  </si>
  <si>
    <t>Pc [bar]</t>
  </si>
  <si>
    <t>Tc [K]</t>
  </si>
  <si>
    <r>
      <t>d x 10</t>
    </r>
    <r>
      <rPr>
        <b/>
        <vertAlign val="superscript"/>
        <sz val="11"/>
        <color theme="1"/>
        <rFont val="Calibri"/>
        <family val="2"/>
        <scheme val="minor"/>
      </rPr>
      <t>9</t>
    </r>
  </si>
  <si>
    <r>
      <t>c x 10</t>
    </r>
    <r>
      <rPr>
        <b/>
        <vertAlign val="superscript"/>
        <sz val="11"/>
        <color theme="1"/>
        <rFont val="Calibri"/>
        <family val="2"/>
        <scheme val="minor"/>
      </rPr>
      <t>6</t>
    </r>
  </si>
  <si>
    <r>
      <t>b x 10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</si>
  <si>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t>a</t>
  </si>
  <si>
    <t>DH0F (298K)  [cal/mol]</t>
  </si>
  <si>
    <t>Molar fraction [-]</t>
  </si>
  <si>
    <t>Specie</t>
  </si>
  <si>
    <t>PROCESSES OF THE ORGANIC CHEMICAL INDUSTRY - TUTORIAL 2</t>
  </si>
  <si>
    <t>CO2</t>
  </si>
  <si>
    <t>H2</t>
  </si>
  <si>
    <t>H2O</t>
  </si>
  <si>
    <t>CH3OH</t>
  </si>
  <si>
    <t>N2</t>
  </si>
  <si>
    <t>CH4</t>
  </si>
  <si>
    <t>x1</t>
  </si>
  <si>
    <t>F1</t>
  </si>
  <si>
    <t>F2</t>
  </si>
  <si>
    <t>eqn1</t>
  </si>
  <si>
    <t>eqn2</t>
  </si>
  <si>
    <t>nu_RWGS</t>
  </si>
  <si>
    <t>nu_MeOHsynthesis</t>
  </si>
  <si>
    <t>keq RWGS</t>
  </si>
  <si>
    <t>kedMeOH synthesis</t>
  </si>
  <si>
    <t>lamRWGS</t>
  </si>
  <si>
    <t>lamMeOH synthesis</t>
  </si>
  <si>
    <t>F_tot [mol/s]</t>
  </si>
  <si>
    <t>x2</t>
  </si>
  <si>
    <t>species\fugacity</t>
  </si>
  <si>
    <t>F3</t>
  </si>
  <si>
    <t>F4</t>
  </si>
  <si>
    <t>x3</t>
  </si>
  <si>
    <t>x4</t>
  </si>
  <si>
    <t>T</t>
  </si>
  <si>
    <t>eq_RWGS</t>
  </si>
  <si>
    <t>eq_MeOH</t>
  </si>
  <si>
    <t>BE</t>
  </si>
  <si>
    <t>species\enthalpy</t>
  </si>
  <si>
    <t>tot</t>
  </si>
  <si>
    <t>Q_HE</t>
  </si>
  <si>
    <t>T4</t>
  </si>
  <si>
    <t>keqRWGS</t>
  </si>
  <si>
    <t>keqMeOH</t>
  </si>
  <si>
    <t>Q_rea1 (cal/mol)</t>
  </si>
  <si>
    <t>X_COX rea1</t>
  </si>
  <si>
    <t xml:space="preserve">X_COX rea2 </t>
  </si>
  <si>
    <t>X_COX tot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</si>
</sst>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5" fillId="2" borderId="1" xfId="0" applyFont="1" applyFill="1" applyBorder="1" applyAlignment="1">
      <alignment horizontal="center" vertical="center" wrapText="1"/>
    </xf>
    <xf numFmtId="0" fontId="0" fillId="4" borderId="0" xfId="0" applyFill="1"/>
    <xf numFmtId="0" fontId="5" fillId="2" borderId="2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0" xfId="0" quotePrefix="1" applyFont="1" applyAlignment="1">
      <alignment horizontal="center" vertical="center" wrapText="1"/>
    </xf>
    <xf numFmtId="0" fontId="7" fillId="3" borderId="0" xfId="0" applyFont="1" applyFill="1" applyAlignment="1">
      <alignment horizontal="center"/>
    </xf>
    <xf numFmtId="0" fontId="0" fillId="0" borderId="0" xfId="0" applyFill="1" applyBorder="1"/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190500</xdr:colOff>
      <xdr:row>0</xdr:row>
      <xdr:rowOff>167640</xdr:rowOff>
    </xdr:from>
    <xdr:to>
      <xdr:col>20</xdr:col>
      <xdr:colOff>322366</xdr:colOff>
      <xdr:row>18</xdr:row>
      <xdr:rowOff>105485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CFA5B35-E3CB-46C7-A552-D050A6D5BF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15300" y="167640"/>
          <a:ext cx="4757206" cy="3770705"/>
        </a:xfrm>
        <a:prstGeom prst="rect">
          <a:avLst/>
        </a:prstGeom>
      </xdr:spPr>
    </xdr:pic>
    <xdr:clientData/>
  </xdr:twoCellAnchor>
  <xdr:twoCellAnchor editAs="oneCell">
    <xdr:from>
      <xdr:col>19</xdr:col>
      <xdr:colOff>216050</xdr:colOff>
      <xdr:row>0</xdr:row>
      <xdr:rowOff>192390</xdr:rowOff>
    </xdr:from>
    <xdr:to>
      <xdr:col>25</xdr:col>
      <xdr:colOff>400203</xdr:colOff>
      <xdr:row>19</xdr:row>
      <xdr:rowOff>44020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D70EC4A-1D0F-453E-BD72-1E565C327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62479" y="192390"/>
          <a:ext cx="3858080" cy="4169630"/>
        </a:xfrm>
        <a:prstGeom prst="rect">
          <a:avLst/>
        </a:prstGeom>
      </xdr:spPr>
    </xdr:pic>
    <xdr:clientData/>
  </xdr:twoCellAnchor>
  <xdr:twoCellAnchor editAs="oneCell">
    <xdr:from>
      <xdr:col>25</xdr:col>
      <xdr:colOff>311453</xdr:colOff>
      <xdr:row>0</xdr:row>
      <xdr:rowOff>255361</xdr:rowOff>
    </xdr:from>
    <xdr:to>
      <xdr:col>32</xdr:col>
      <xdr:colOff>520085</xdr:colOff>
      <xdr:row>19</xdr:row>
      <xdr:rowOff>145142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9BDD4B6-D330-4123-8997-5CA33E6CBB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231810" y="255361"/>
          <a:ext cx="4494882" cy="42077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D43F9-7A8B-4493-A597-005897D04447}">
  <sheetPr codeName="Sheet1"/>
  <dimension ref="A1:W65"/>
  <sheetViews>
    <sheetView tabSelected="1" topLeftCell="E31" zoomScaleNormal="100" workbookViewId="0">
      <selection activeCell="R44" sqref="R44"/>
    </sheetView>
  </sheetViews>
  <sheetFormatPr defaultRowHeight="14.4" x14ac:dyDescent="0.3"/>
  <cols>
    <col min="1" max="1" width="13.6640625" customWidth="1"/>
    <col min="10" max="10" width="12.6640625" bestFit="1" customWidth="1"/>
    <col min="11" max="11" width="12" bestFit="1" customWidth="1"/>
    <col min="18" max="18" width="14.109375" customWidth="1"/>
  </cols>
  <sheetData>
    <row r="1" spans="1:12" ht="21" x14ac:dyDescent="0.4">
      <c r="A1" s="19" t="s">
        <v>23</v>
      </c>
      <c r="B1" s="19"/>
      <c r="C1" s="19"/>
      <c r="D1" s="19"/>
      <c r="E1" s="19"/>
      <c r="F1" s="19"/>
      <c r="G1" s="19"/>
      <c r="H1" s="19"/>
      <c r="I1" s="19"/>
      <c r="J1" s="19"/>
    </row>
    <row r="3" spans="1:12" ht="43.2" x14ac:dyDescent="0.3">
      <c r="A3" s="7" t="s">
        <v>22</v>
      </c>
      <c r="B3" s="7" t="s">
        <v>21</v>
      </c>
      <c r="C3" s="7" t="s">
        <v>20</v>
      </c>
      <c r="D3" s="7" t="s">
        <v>19</v>
      </c>
      <c r="E3" s="7" t="s">
        <v>18</v>
      </c>
      <c r="F3" s="7" t="s">
        <v>17</v>
      </c>
      <c r="G3" s="7" t="s">
        <v>16</v>
      </c>
      <c r="H3" s="12" t="s">
        <v>15</v>
      </c>
      <c r="I3" s="12" t="s">
        <v>14</v>
      </c>
      <c r="J3" s="12" t="s">
        <v>13</v>
      </c>
      <c r="K3" s="14" t="s">
        <v>35</v>
      </c>
      <c r="L3" s="14" t="s">
        <v>36</v>
      </c>
    </row>
    <row r="4" spans="1:12" x14ac:dyDescent="0.3">
      <c r="A4" s="6" t="s">
        <v>12</v>
      </c>
      <c r="B4" s="3">
        <v>5.4000000000000006E-2</v>
      </c>
      <c r="C4" s="9">
        <v>-26420</v>
      </c>
      <c r="D4" s="9">
        <v>7.3730000000000002</v>
      </c>
      <c r="E4" s="9">
        <v>-3.07</v>
      </c>
      <c r="F4" s="9">
        <v>6.6619999999999999</v>
      </c>
      <c r="G4" s="9">
        <v>-3.0369999999999999</v>
      </c>
      <c r="H4" s="8">
        <v>132.91999999999999</v>
      </c>
      <c r="I4" s="8">
        <v>34.99</v>
      </c>
      <c r="J4" s="8">
        <v>6.6000000000000003E-2</v>
      </c>
      <c r="K4" s="17">
        <v>1</v>
      </c>
      <c r="L4" s="15">
        <v>-1</v>
      </c>
    </row>
    <row r="5" spans="1:12" ht="15.6" x14ac:dyDescent="0.3">
      <c r="A5" s="6" t="s">
        <v>11</v>
      </c>
      <c r="B5" s="3">
        <v>0.1008</v>
      </c>
      <c r="C5" s="9">
        <v>-94050</v>
      </c>
      <c r="D5" s="9">
        <v>4.7279999999999998</v>
      </c>
      <c r="E5" s="9">
        <v>17.54</v>
      </c>
      <c r="F5" s="9">
        <v>-13.38</v>
      </c>
      <c r="G5" s="9">
        <v>4.0970000000000004</v>
      </c>
      <c r="H5" s="8">
        <v>304.19</v>
      </c>
      <c r="I5" s="8">
        <v>73.819999999999993</v>
      </c>
      <c r="J5" s="8">
        <v>0.22800000000000001</v>
      </c>
      <c r="K5" s="17">
        <v>-1</v>
      </c>
      <c r="L5" s="15">
        <v>0</v>
      </c>
    </row>
    <row r="6" spans="1:12" ht="15.6" x14ac:dyDescent="0.3">
      <c r="A6" s="6" t="s">
        <v>10</v>
      </c>
      <c r="B6" s="3">
        <v>0.5696</v>
      </c>
      <c r="C6" s="9">
        <v>0</v>
      </c>
      <c r="D6" s="9">
        <v>6.4829999999999997</v>
      </c>
      <c r="E6" s="9">
        <v>2.2149999999999999</v>
      </c>
      <c r="F6" s="9">
        <v>-3.298</v>
      </c>
      <c r="G6" s="9">
        <v>1.8260000000000001</v>
      </c>
      <c r="H6" s="8">
        <v>33.18</v>
      </c>
      <c r="I6" s="8">
        <v>13.13</v>
      </c>
      <c r="J6" s="8">
        <v>-0.22</v>
      </c>
      <c r="K6" s="17">
        <v>-1</v>
      </c>
      <c r="L6" s="15">
        <v>-2</v>
      </c>
    </row>
    <row r="7" spans="1:12" ht="15.6" x14ac:dyDescent="0.3">
      <c r="A7" s="6" t="s">
        <v>9</v>
      </c>
      <c r="B7" s="3">
        <v>8.9999999999999998E-4</v>
      </c>
      <c r="C7" s="9">
        <v>-57800</v>
      </c>
      <c r="D7" s="9">
        <v>7.7009999999999996</v>
      </c>
      <c r="E7" s="9">
        <v>0.45950000000000002</v>
      </c>
      <c r="F7" s="9">
        <v>2.5209999999999999</v>
      </c>
      <c r="G7" s="9">
        <v>-0.85899999999999999</v>
      </c>
      <c r="H7" s="8">
        <v>647.13</v>
      </c>
      <c r="I7" s="8">
        <v>220.55</v>
      </c>
      <c r="J7" s="8">
        <v>0.34499999999999997</v>
      </c>
      <c r="K7" s="16">
        <v>1</v>
      </c>
      <c r="L7" s="16">
        <v>0</v>
      </c>
    </row>
    <row r="8" spans="1:12" ht="15.6" x14ac:dyDescent="0.3">
      <c r="A8" s="6" t="s">
        <v>8</v>
      </c>
      <c r="B8" s="3">
        <v>4.1999999999999997E-3</v>
      </c>
      <c r="C8" s="11">
        <v>-48080</v>
      </c>
      <c r="D8" s="10">
        <v>5.0620000000000003</v>
      </c>
      <c r="E8" s="10">
        <v>16.940000000000001</v>
      </c>
      <c r="F8" s="10">
        <v>6.1790000000000003</v>
      </c>
      <c r="G8" s="10">
        <v>-6.8109999999999999</v>
      </c>
      <c r="H8" s="8">
        <v>512.58000000000004</v>
      </c>
      <c r="I8" s="8">
        <v>80.959999999999994</v>
      </c>
      <c r="J8" s="8">
        <v>0.56599999999999995</v>
      </c>
      <c r="K8" s="18">
        <v>0</v>
      </c>
      <c r="L8" s="16">
        <v>1</v>
      </c>
    </row>
    <row r="9" spans="1:12" ht="15.6" x14ac:dyDescent="0.3">
      <c r="A9" s="6" t="s">
        <v>7</v>
      </c>
      <c r="B9" s="3">
        <v>3.44E-2</v>
      </c>
      <c r="C9" s="6">
        <v>0</v>
      </c>
      <c r="D9" s="6">
        <v>7.44</v>
      </c>
      <c r="E9" s="6">
        <v>-3.24</v>
      </c>
      <c r="F9" s="6">
        <v>6.4</v>
      </c>
      <c r="G9" s="6">
        <v>-2.79</v>
      </c>
      <c r="H9" s="8">
        <v>126.1</v>
      </c>
      <c r="I9" s="8">
        <v>33.94</v>
      </c>
      <c r="J9" s="8">
        <v>0.04</v>
      </c>
      <c r="K9" s="16">
        <v>0</v>
      </c>
      <c r="L9" s="16">
        <v>0</v>
      </c>
    </row>
    <row r="10" spans="1:12" ht="15.6" x14ac:dyDescent="0.3">
      <c r="A10" s="6" t="s">
        <v>6</v>
      </c>
      <c r="B10" s="3">
        <v>0.2361</v>
      </c>
      <c r="C10" s="9">
        <v>-17890</v>
      </c>
      <c r="D10" s="9">
        <v>4.5979999999999999</v>
      </c>
      <c r="E10" s="9">
        <v>12.45</v>
      </c>
      <c r="F10" s="9">
        <v>2.86</v>
      </c>
      <c r="G10" s="9">
        <v>-2.7090000000000001</v>
      </c>
      <c r="H10" s="8">
        <v>190.58</v>
      </c>
      <c r="I10" s="8">
        <v>46.04</v>
      </c>
      <c r="J10" s="8">
        <v>1.0999999999999999E-2</v>
      </c>
      <c r="K10" s="16">
        <v>0</v>
      </c>
      <c r="L10" s="16">
        <v>0</v>
      </c>
    </row>
    <row r="12" spans="1:12" x14ac:dyDescent="0.3">
      <c r="A12" s="7" t="s">
        <v>5</v>
      </c>
      <c r="B12" s="6">
        <v>430</v>
      </c>
      <c r="C12" s="1" t="s">
        <v>0</v>
      </c>
      <c r="E12" s="2" t="s">
        <v>4</v>
      </c>
      <c r="F12" s="1">
        <v>80</v>
      </c>
      <c r="G12" s="1" t="s">
        <v>3</v>
      </c>
    </row>
    <row r="13" spans="1:12" x14ac:dyDescent="0.3">
      <c r="A13" s="4" t="s">
        <v>2</v>
      </c>
      <c r="B13" s="5">
        <v>530</v>
      </c>
      <c r="C13" s="1" t="s">
        <v>0</v>
      </c>
    </row>
    <row r="14" spans="1:12" x14ac:dyDescent="0.3">
      <c r="A14" s="4" t="s">
        <v>1</v>
      </c>
      <c r="B14" s="3">
        <v>480</v>
      </c>
      <c r="C14" s="1" t="s">
        <v>0</v>
      </c>
    </row>
    <row r="15" spans="1:12" x14ac:dyDescent="0.3">
      <c r="A15" t="s">
        <v>55</v>
      </c>
      <c r="B15">
        <f>T43</f>
        <v>513.14650466481123</v>
      </c>
      <c r="C15" s="20" t="s">
        <v>0</v>
      </c>
    </row>
    <row r="19" spans="1:5" x14ac:dyDescent="0.3">
      <c r="B19" t="s">
        <v>30</v>
      </c>
      <c r="C19" t="s">
        <v>42</v>
      </c>
      <c r="D19" t="s">
        <v>46</v>
      </c>
      <c r="E19" t="s">
        <v>47</v>
      </c>
    </row>
    <row r="20" spans="1:5" x14ac:dyDescent="0.3">
      <c r="A20" t="s">
        <v>12</v>
      </c>
      <c r="B20">
        <v>5.3999999999999999E-2</v>
      </c>
      <c r="C20">
        <f>C31/$C$28</f>
        <v>2.2491048514451245E-2</v>
      </c>
      <c r="D20">
        <v>2.2491048514451245E-2</v>
      </c>
      <c r="E20">
        <f>E31/$E$28</f>
        <v>1.3550505242645675E-2</v>
      </c>
    </row>
    <row r="21" spans="1:5" x14ac:dyDescent="0.3">
      <c r="A21" t="s">
        <v>24</v>
      </c>
      <c r="B21">
        <v>0.1008</v>
      </c>
      <c r="C21">
        <f t="shared" ref="C21:C26" si="0">C32/$C$28</f>
        <v>8.2868982739166888E-2</v>
      </c>
      <c r="D21">
        <v>8.2868982739166888E-2</v>
      </c>
      <c r="E21">
        <f t="shared" ref="E21:E26" si="1">E32/$E$28</f>
        <v>7.9576121235368683E-2</v>
      </c>
    </row>
    <row r="22" spans="1:5" x14ac:dyDescent="0.3">
      <c r="A22" t="s">
        <v>25</v>
      </c>
      <c r="B22">
        <v>0.5696</v>
      </c>
      <c r="C22">
        <f t="shared" si="0"/>
        <v>0.47558986513175655</v>
      </c>
      <c r="D22">
        <v>0.47558986513175655</v>
      </c>
      <c r="E22">
        <f t="shared" si="1"/>
        <v>0.45347201922239427</v>
      </c>
    </row>
    <row r="23" spans="1:5" x14ac:dyDescent="0.3">
      <c r="A23" t="s">
        <v>26</v>
      </c>
      <c r="B23">
        <v>8.9999999999999998E-4</v>
      </c>
      <c r="C23">
        <f t="shared" si="0"/>
        <v>3.339661639613737E-2</v>
      </c>
      <c r="D23">
        <v>3.339661639613737E-2</v>
      </c>
      <c r="E23">
        <f t="shared" si="1"/>
        <v>4.029358353631711E-2</v>
      </c>
    </row>
    <row r="24" spans="1:5" x14ac:dyDescent="0.3">
      <c r="A24" t="s">
        <v>27</v>
      </c>
      <c r="B24">
        <v>4.1999999999999997E-3</v>
      </c>
      <c r="C24">
        <f t="shared" si="0"/>
        <v>7.6412144385648112E-2</v>
      </c>
      <c r="D24">
        <v>7.6412144385648112E-2</v>
      </c>
      <c r="E24">
        <f t="shared" si="1"/>
        <v>9.4280286586863132E-2</v>
      </c>
    </row>
    <row r="25" spans="1:5" x14ac:dyDescent="0.3">
      <c r="A25" t="s">
        <v>28</v>
      </c>
      <c r="B25">
        <v>3.44E-2</v>
      </c>
      <c r="C25">
        <f t="shared" si="0"/>
        <v>3.93268103269859E-2</v>
      </c>
      <c r="D25">
        <v>3.93268103269859E-2</v>
      </c>
      <c r="E25">
        <f t="shared" si="1"/>
        <v>4.0545898172526955E-2</v>
      </c>
    </row>
    <row r="26" spans="1:5" x14ac:dyDescent="0.3">
      <c r="A26" t="s">
        <v>29</v>
      </c>
      <c r="B26">
        <v>0.2361</v>
      </c>
      <c r="C26">
        <f t="shared" si="0"/>
        <v>0.26991453250585384</v>
      </c>
      <c r="D26">
        <v>0.26991453250585384</v>
      </c>
      <c r="E26">
        <f t="shared" si="1"/>
        <v>0.27828158600388408</v>
      </c>
    </row>
    <row r="28" spans="1:5" x14ac:dyDescent="0.3">
      <c r="A28" t="s">
        <v>41</v>
      </c>
      <c r="B28">
        <v>100</v>
      </c>
      <c r="C28">
        <f>SUM(C31:C37)</f>
        <v>87.472133422411972</v>
      </c>
      <c r="D28">
        <f t="shared" ref="D28:E28" si="2">SUM(D31:D37)</f>
        <v>87.472133422411972</v>
      </c>
      <c r="E28">
        <f t="shared" si="2"/>
        <v>84.842121029418252</v>
      </c>
    </row>
    <row r="30" spans="1:5" x14ac:dyDescent="0.3">
      <c r="B30" t="s">
        <v>31</v>
      </c>
      <c r="C30" t="s">
        <v>32</v>
      </c>
      <c r="D30" t="s">
        <v>44</v>
      </c>
      <c r="E30" t="s">
        <v>45</v>
      </c>
    </row>
    <row r="31" spans="1:5" x14ac:dyDescent="0.3">
      <c r="A31" t="s">
        <v>12</v>
      </c>
      <c r="B31">
        <f>B20*$B$28</f>
        <v>5.4</v>
      </c>
      <c r="C31">
        <f t="shared" ref="C31:C37" si="3">B31+K4*$J$43+L4*$K$43</f>
        <v>1.9673399964660199</v>
      </c>
      <c r="D31">
        <v>1.9673399964660199</v>
      </c>
      <c r="E31">
        <f>D31+K4*$R$43+L4*$S$43</f>
        <v>1.1496536058063109</v>
      </c>
    </row>
    <row r="32" spans="1:5" x14ac:dyDescent="0.3">
      <c r="A32" t="s">
        <v>24</v>
      </c>
      <c r="B32">
        <f t="shared" ref="B32:B37" si="4">B21*$B$28</f>
        <v>10.08</v>
      </c>
      <c r="C32">
        <f t="shared" si="3"/>
        <v>7.248726714739961</v>
      </c>
      <c r="D32">
        <v>7.248726714739961</v>
      </c>
      <c r="E32">
        <f t="shared" ref="E32:E37" si="5">D32+K5*$R$43+L5*$S$43</f>
        <v>6.7514069089028101</v>
      </c>
    </row>
    <row r="33" spans="1:23" x14ac:dyDescent="0.3">
      <c r="A33" t="s">
        <v>25</v>
      </c>
      <c r="B33">
        <f t="shared" si="4"/>
        <v>56.96</v>
      </c>
      <c r="C33">
        <f t="shared" si="3"/>
        <v>41.600860137151926</v>
      </c>
      <c r="D33">
        <v>41.600860137151926</v>
      </c>
      <c r="E33">
        <f t="shared" si="5"/>
        <v>38.473527938321055</v>
      </c>
    </row>
    <row r="34" spans="1:23" x14ac:dyDescent="0.3">
      <c r="A34" t="s">
        <v>26</v>
      </c>
      <c r="B34">
        <f t="shared" si="4"/>
        <v>0.09</v>
      </c>
      <c r="C34">
        <f t="shared" si="3"/>
        <v>2.9212732852600394</v>
      </c>
      <c r="D34">
        <v>2.9212732852600394</v>
      </c>
      <c r="E34">
        <f t="shared" si="5"/>
        <v>3.4185930910971907</v>
      </c>
    </row>
    <row r="35" spans="1:23" x14ac:dyDescent="0.3">
      <c r="A35" t="s">
        <v>27</v>
      </c>
      <c r="B35">
        <f t="shared" si="4"/>
        <v>0.42</v>
      </c>
      <c r="C35">
        <f t="shared" si="3"/>
        <v>6.6839332887940195</v>
      </c>
      <c r="D35">
        <v>6.6839332887940195</v>
      </c>
      <c r="E35">
        <f t="shared" si="5"/>
        <v>7.9989394852908795</v>
      </c>
    </row>
    <row r="36" spans="1:23" x14ac:dyDescent="0.3">
      <c r="A36" t="s">
        <v>28</v>
      </c>
      <c r="B36">
        <f t="shared" si="4"/>
        <v>3.44</v>
      </c>
      <c r="C36">
        <f t="shared" si="3"/>
        <v>3.44</v>
      </c>
      <c r="D36">
        <v>3.44</v>
      </c>
      <c r="E36">
        <f t="shared" si="5"/>
        <v>3.44</v>
      </c>
    </row>
    <row r="37" spans="1:23" x14ac:dyDescent="0.3">
      <c r="A37" t="s">
        <v>29</v>
      </c>
      <c r="B37">
        <f t="shared" si="4"/>
        <v>23.61</v>
      </c>
      <c r="C37">
        <f t="shared" si="3"/>
        <v>23.61</v>
      </c>
      <c r="D37">
        <v>23.61</v>
      </c>
      <c r="E37">
        <f t="shared" si="5"/>
        <v>23.61</v>
      </c>
    </row>
    <row r="39" spans="1:23" x14ac:dyDescent="0.3">
      <c r="A39" t="s">
        <v>43</v>
      </c>
      <c r="B39">
        <v>1</v>
      </c>
      <c r="C39">
        <v>2</v>
      </c>
      <c r="D39">
        <v>3</v>
      </c>
      <c r="E39">
        <v>4</v>
      </c>
    </row>
    <row r="40" spans="1:23" x14ac:dyDescent="0.3">
      <c r="A40" t="s">
        <v>12</v>
      </c>
      <c r="C40" cm="1">
        <f t="array" ref="C40">phi_PR(H4,I4,J4,$B$13,$F$12,"V")*C20*$F$12</f>
        <v>1.8492849632230666</v>
      </c>
      <c r="D40">
        <v>1.8492849632230666</v>
      </c>
      <c r="E40" cm="1">
        <f t="array" ref="E40">phi_PR(H4,I4,J4,$B$15,$F$12,"V")*E20*$F$12</f>
        <v>1.1133434650471115</v>
      </c>
      <c r="J40" s="13" t="s">
        <v>33</v>
      </c>
      <c r="K40" s="13" t="s">
        <v>34</v>
      </c>
      <c r="L40" s="13" t="s">
        <v>37</v>
      </c>
      <c r="M40" s="13" t="s">
        <v>38</v>
      </c>
      <c r="R40" s="13" t="s">
        <v>49</v>
      </c>
      <c r="S40" s="13" t="s">
        <v>50</v>
      </c>
      <c r="T40" s="13" t="s">
        <v>51</v>
      </c>
      <c r="U40" s="13"/>
      <c r="V40" s="13" t="s">
        <v>56</v>
      </c>
      <c r="W40" s="13" t="s">
        <v>57</v>
      </c>
    </row>
    <row r="41" spans="1:23" x14ac:dyDescent="0.3">
      <c r="A41" t="s">
        <v>24</v>
      </c>
      <c r="C41" cm="1">
        <f t="array" ref="C41">phi_PR(H5,I5,J5,$B$13,$F$12,"V")*C21*$F$12</f>
        <v>6.329300009038481</v>
      </c>
      <c r="D41">
        <v>6.329300009038481</v>
      </c>
      <c r="E41" cm="1">
        <f t="array" ref="E41">phi_PR(H5,I5,J5,$B$15,$F$12,"V")*E21*$F$12</f>
        <v>6.0233682501058494</v>
      </c>
      <c r="J41" s="13" cm="1">
        <f t="array" ref="J41">eqn_writer(C40:C46,K4:K10,L41)</f>
        <v>4.1356891869459567E-14</v>
      </c>
      <c r="K41" s="13" cm="1">
        <f t="array" ref="K41">eqn_writer(C40:C46,L4:L10,M41)</f>
        <v>7.0768044202473845E-15</v>
      </c>
      <c r="L41" s="13">
        <f>EXP(-(8514-7.71*B13)/(1.986*B13))</f>
        <v>1.4898107023045636E-2</v>
      </c>
      <c r="M41" s="13">
        <f xml:space="preserve"> EXP(-(-22828+56.02*B13)/(1.986*B13))</f>
        <v>1.4739793870367881E-3</v>
      </c>
      <c r="R41" s="13" cm="1">
        <f t="array" ref="R41">eqn_writer(E40:E46,K4:K10,V41)</f>
        <v>7.9493703286637185E-15</v>
      </c>
      <c r="S41" s="13" cm="1">
        <f t="array" ref="S41">eqn_writer(E40:E46,L4:L10,W41)</f>
        <v>-2.2643041955316967E-13</v>
      </c>
      <c r="T41" s="13">
        <f>(E60-D60)/10^4</f>
        <v>2.3283064365386964E-14</v>
      </c>
      <c r="U41" s="13"/>
      <c r="V41" s="13">
        <f>EXP(-(8514-7.71*B15)/(1.986*B15))</f>
        <v>1.1422368290657649E-2</v>
      </c>
      <c r="W41" s="13">
        <f xml:space="preserve"> EXP(-(-22828+56.02*B15)/(1.986*B15))</f>
        <v>3.0049568581730834E-3</v>
      </c>
    </row>
    <row r="42" spans="1:23" x14ac:dyDescent="0.3">
      <c r="A42" t="s">
        <v>25</v>
      </c>
      <c r="C42" cm="1">
        <f t="array" ref="C42">phi_PR(H6,I6,J6,$B$13,$F$12,"V")*C22*$F$12</f>
        <v>38.836480461453988</v>
      </c>
      <c r="D42">
        <v>38.836480461453988</v>
      </c>
      <c r="E42" cm="1">
        <f t="array" ref="E42">phi_PR(H6,I6,J6,$B$15,$F$12,"V")*E22*$F$12</f>
        <v>37.043133608069873</v>
      </c>
      <c r="J42" s="13" t="s">
        <v>39</v>
      </c>
      <c r="K42" s="13" t="s">
        <v>40</v>
      </c>
      <c r="L42" s="13"/>
      <c r="M42" s="13"/>
      <c r="R42" s="13" t="s">
        <v>39</v>
      </c>
      <c r="S42" s="13" t="s">
        <v>40</v>
      </c>
      <c r="T42" s="13" t="s">
        <v>48</v>
      </c>
      <c r="U42" s="13"/>
      <c r="V42" s="13"/>
      <c r="W42" s="13"/>
    </row>
    <row r="43" spans="1:23" x14ac:dyDescent="0.3">
      <c r="A43" t="s">
        <v>26</v>
      </c>
      <c r="C43" cm="1">
        <f t="array" ref="C43">phi_PR(H7,I7,J7,$B$13,$F$12,"V")*C23*$F$12</f>
        <v>1.9802626598226989</v>
      </c>
      <c r="D43">
        <v>1.9802626598226989</v>
      </c>
      <c r="E43" cm="1">
        <f t="array" ref="E43">phi_PR(H7,I7,J7,$B$15,$F$12,"V")*E23*$F$12</f>
        <v>2.2891493502408631</v>
      </c>
      <c r="J43" s="13">
        <v>2.8312732852600395</v>
      </c>
      <c r="K43" s="13">
        <v>6.2639332887940196</v>
      </c>
      <c r="L43" s="13"/>
      <c r="M43" s="13"/>
      <c r="R43" s="13">
        <v>0.49731980583715107</v>
      </c>
      <c r="S43" s="13">
        <v>1.3150061964968598</v>
      </c>
      <c r="T43" s="13">
        <v>513.14650466481123</v>
      </c>
      <c r="U43" s="13"/>
      <c r="V43" s="13"/>
      <c r="W43" s="13"/>
    </row>
    <row r="44" spans="1:23" x14ac:dyDescent="0.3">
      <c r="A44" t="s">
        <v>27</v>
      </c>
      <c r="C44" cm="1">
        <f t="array" ref="C44">phi_PR(H8,I8,J8,$B$13,$F$12,"V")*C24*$F$12</f>
        <v>4.1112603429555552</v>
      </c>
      <c r="D44">
        <v>4.1112603429555552</v>
      </c>
      <c r="E44" cm="1">
        <f t="array" ref="E44">phi_PR(H8,I8,J8,$B$15,$F$12,"V")*E24*$F$12</f>
        <v>4.5907415306399706</v>
      </c>
      <c r="J44" s="13"/>
      <c r="K44" s="13"/>
      <c r="L44" s="13"/>
      <c r="M44" s="13"/>
      <c r="R44" s="13"/>
      <c r="S44" s="13"/>
      <c r="T44" s="13"/>
      <c r="U44" s="13"/>
      <c r="V44" s="13"/>
      <c r="W44" s="13"/>
    </row>
    <row r="45" spans="1:23" x14ac:dyDescent="0.3">
      <c r="A45" t="s">
        <v>28</v>
      </c>
      <c r="C45" cm="1">
        <f t="array" ref="C45">phi_PR(H9,I9,J9,$B$13,$F$12,"V")*C25*$F$12</f>
        <v>3.2311631007700221</v>
      </c>
      <c r="D45">
        <v>3.2311631007700221</v>
      </c>
      <c r="E45" cm="1">
        <f t="array" ref="E45">phi_PR(H9,I9,J9,$B$15,$F$12,"V")*E25*$F$12</f>
        <v>3.3291693814934376</v>
      </c>
    </row>
    <row r="46" spans="1:23" x14ac:dyDescent="0.3">
      <c r="A46" t="s">
        <v>29</v>
      </c>
      <c r="C46" cm="1">
        <f t="array" ref="C46">phi_PR(H10,I10,J10,$B$13,$F$12,"V")*C26*$F$12</f>
        <v>21.487884294532197</v>
      </c>
      <c r="D46">
        <v>21.487884294532197</v>
      </c>
      <c r="E46" cm="1">
        <f t="array" ref="E46">phi_PR(H10,I10,J10,$B$15,$F$12,"V")*E26*$F$12</f>
        <v>22.074227456788002</v>
      </c>
    </row>
    <row r="47" spans="1:23" x14ac:dyDescent="0.3">
      <c r="J47" s="21" t="s">
        <v>59</v>
      </c>
      <c r="K47" s="21">
        <f>(SUM(B31:B32)-SUM(C31:C32))/SUM(B31:B32)</f>
        <v>0.40464685328126743</v>
      </c>
      <c r="R47" s="21" t="s">
        <v>60</v>
      </c>
      <c r="S47" s="21">
        <f>(SUM(D31:D32)-SUM(E31:E32))/SUM(D31:D32)</f>
        <v>0.14268627145438523</v>
      </c>
    </row>
    <row r="50" spans="1:15" x14ac:dyDescent="0.3">
      <c r="A50" t="s">
        <v>52</v>
      </c>
      <c r="B50">
        <v>1</v>
      </c>
      <c r="C50">
        <v>2</v>
      </c>
      <c r="D50">
        <v>3</v>
      </c>
      <c r="E50">
        <v>4</v>
      </c>
      <c r="N50" s="21" t="s">
        <v>61</v>
      </c>
      <c r="O50" s="21">
        <f>(SUM(B31:B32)-SUM(E31:E32))/SUM(B31:B32)</f>
        <v>0.48959557398519893</v>
      </c>
    </row>
    <row r="51" spans="1:15" x14ac:dyDescent="0.3">
      <c r="A51" t="s">
        <v>12</v>
      </c>
      <c r="B51" cm="1">
        <f t="array" ref="B51">B31*hT(C4,298,$B$12,D4,E4/10^3,F4/10^6,G4/10^9)</f>
        <v>-137680.82632182862</v>
      </c>
      <c r="C51" cm="1">
        <f t="array" ref="C51">C31*hT(C4,298,$B$13,D4,E4/10^3,F4/10^6,G4/10^9)</f>
        <v>-48763.301472187683</v>
      </c>
      <c r="D51" cm="1">
        <f t="array" ref="D51">C31*hT(C4,298,$B$14,D4,E4/10^3,F4/10^6,G4/10^9)</f>
        <v>-49464.749455314464</v>
      </c>
      <c r="E51" cm="1">
        <f t="array" ref="E51">E31*hT(C4,298,$B$15,D4,E4/10^3,F4/10^6,G4/10^9)</f>
        <v>-28634.38753526306</v>
      </c>
    </row>
    <row r="52" spans="1:15" x14ac:dyDescent="0.3">
      <c r="A52" t="s">
        <v>24</v>
      </c>
      <c r="B52" cm="1">
        <f t="array" ref="B52">B32*hT(C5,298,$B$12,D5,E5/10^3,F5/10^6,G5/10^9)</f>
        <v>-935351.182080011</v>
      </c>
      <c r="C52" cm="1">
        <f t="array" ref="C52">C32*hT(C5,298,$B$13,D5,E5/10^3,F5/10^6,G5/10^9)</f>
        <v>-665010.11309327534</v>
      </c>
      <c r="D52" cm="1">
        <f t="array" ref="D52">C32*hT(C5,298,$B$14,D5,E5/10^3,F5/10^6,G5/10^9)</f>
        <v>-668888.04199076281</v>
      </c>
      <c r="E52" cm="1">
        <f t="array" ref="E52">E32*hT(C5,298,$B$15,D5,E5/10^3,F5/10^6,G5/10^9)</f>
        <v>-620616.06226383091</v>
      </c>
    </row>
    <row r="53" spans="1:15" x14ac:dyDescent="0.3">
      <c r="A53" t="s">
        <v>25</v>
      </c>
      <c r="B53" cm="1">
        <f t="array" ref="B53">B33*hT(C6,298,$B$12,D6,E6/10^3,F6/10^6,G6/10^9)</f>
        <v>52168.338675914587</v>
      </c>
      <c r="C53" cm="1">
        <f t="array" ref="C53">C33*hT(C6,298,$B$13,D6,E6/10^3,F6/10^6,G6/10^9)</f>
        <v>67170.795466495256</v>
      </c>
      <c r="D53" cm="1">
        <f t="array" ref="D53">C33*hT(C6,298,$B$14,D6,E6/10^3,F6/10^6,G6/10^9)</f>
        <v>52619.733967101827</v>
      </c>
      <c r="E53" cm="1">
        <f t="array" ref="E53">E33*hT(C6,298,$B$15,D6,E6/10^3,F6/10^6,G6/10^9)</f>
        <v>57582.241348235686</v>
      </c>
    </row>
    <row r="54" spans="1:15" x14ac:dyDescent="0.3">
      <c r="A54" t="s">
        <v>26</v>
      </c>
      <c r="B54" cm="1">
        <f t="array" ref="B54">B34*hT(C7,298,$B$12,D7,E7/10^3,F7/10^6,G7/10^9)</f>
        <v>-5105.0217712040694</v>
      </c>
      <c r="C54" cm="1">
        <f t="array" ref="C54">C34*hT(C7,298,$B$13,D7,E7/10^3,F7/10^6,G7/10^9)</f>
        <v>-163245.47527055632</v>
      </c>
      <c r="D54" cm="1">
        <f t="array" ref="D54">C34*hT(C7,298,$B$14,D7,E7/10^3,F7/10^6,G7/10^9)</f>
        <v>-164481.990518242</v>
      </c>
      <c r="E54" cm="1">
        <f t="array" ref="E54">E34*hT(C7,298,$B$15,D7,E7/10^3,F7/10^6,G7/10^9)</f>
        <v>-191526.50590421871</v>
      </c>
    </row>
    <row r="55" spans="1:15" x14ac:dyDescent="0.3">
      <c r="A55" t="s">
        <v>27</v>
      </c>
      <c r="B55" cm="1">
        <f t="array" ref="B55">B35*hT(C8,298,$B$12,D8,E8/10^3,F8/10^6,G8/10^9)</f>
        <v>-19544.034985466315</v>
      </c>
      <c r="C55" cm="1">
        <f t="array" ref="C55">C35*hT(C8,298,$B$13,D8,E8/10^3,F8/10^6,G8/10^9)</f>
        <v>-301761.93630003615</v>
      </c>
      <c r="D55" cm="1">
        <f t="array" ref="D55">C35*hT(C8,298,$B$14,D8,E8/10^3,F8/10^6,G8/10^9)</f>
        <v>-306545.78259950888</v>
      </c>
      <c r="E55" cm="1">
        <f t="array" ref="E55">E35*hT(C8,298,$B$15,D8,E8/10^3,F8/10^6,G8/10^9)</f>
        <v>-363100.82102285756</v>
      </c>
    </row>
    <row r="56" spans="1:15" x14ac:dyDescent="0.3">
      <c r="A56" t="s">
        <v>28</v>
      </c>
      <c r="B56" cm="1">
        <f t="array" ref="B56">B36*hT(C9,298,$B$12,D9,E9/10^3,F9/10^6,G9/10^9)</f>
        <v>3168.9906194901505</v>
      </c>
      <c r="C56" cm="1">
        <f t="array" ref="C56">C36*hT(C9,298,$B$13,D9,E9/10^3,F9/10^6,G9/10^9)</f>
        <v>5595.1516362368175</v>
      </c>
      <c r="D56" cm="1">
        <f t="array" ref="D56">C36*hT(C9,298,$B$14,D9,E9/10^3,F9/10^6,G9/10^9)</f>
        <v>4377.891250513484</v>
      </c>
      <c r="E56" cm="1">
        <f t="array" ref="E56">E36*hT(C9,298,$B$15,D9,E9/10^3,F9/10^6,G9/10^9)</f>
        <v>5183.7925874156917</v>
      </c>
    </row>
    <row r="57" spans="1:15" x14ac:dyDescent="0.3">
      <c r="A57" t="s">
        <v>29</v>
      </c>
      <c r="B57" cm="1">
        <f t="array" ref="B57">B37*hT(C10,298,$B$12,D10,E10/10^3,F10/10^6,G10/10^9)</f>
        <v>-393156.34744931536</v>
      </c>
      <c r="C57" cm="1">
        <f t="array" ref="C57">C37*hT(C10,298,$B$13,D10,E10/10^3,F10/10^6,G10/10^9)</f>
        <v>-367344.75554592343</v>
      </c>
      <c r="D57" cm="1">
        <f t="array" ref="D57">C37*hT(C10,298,$B$14,D10,E10/10^3,F10/10^6,G10/10^9)</f>
        <v>-380643.65070655633</v>
      </c>
      <c r="E57" cm="1">
        <f t="array" ref="E57">E37*hT(C10,298,$B$15,D10,E10/10^3,F10/10^6,G10/10^9)</f>
        <v>-371914.84726225014</v>
      </c>
    </row>
    <row r="60" spans="1:15" x14ac:dyDescent="0.3">
      <c r="A60" t="s">
        <v>53</v>
      </c>
      <c r="B60">
        <f>SUM(B51:B57)</f>
        <v>-1435500.0833124206</v>
      </c>
      <c r="C60">
        <f>SUM(C51:C57)</f>
        <v>-1473359.6345792469</v>
      </c>
      <c r="D60">
        <f>SUM(D51:D57)</f>
        <v>-1513026.5900527693</v>
      </c>
      <c r="E60">
        <f>SUM(E51:E57)</f>
        <v>-1513026.5900527691</v>
      </c>
    </row>
    <row r="63" spans="1:15" x14ac:dyDescent="0.3">
      <c r="A63" t="s">
        <v>58</v>
      </c>
      <c r="B63" s="21">
        <f>(C60-B60)/100*4.184</f>
        <v>-1584.0436250040093</v>
      </c>
    </row>
    <row r="65" spans="1:2" x14ac:dyDescent="0.3">
      <c r="A65" t="s">
        <v>54</v>
      </c>
      <c r="B65">
        <f>D60-C60</f>
        <v>-39666.955473522423</v>
      </c>
    </row>
  </sheetData>
  <mergeCells count="1">
    <mergeCell ref="A1:J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porta</dc:creator>
  <cp:lastModifiedBy>Federico Pelizza</cp:lastModifiedBy>
  <dcterms:created xsi:type="dcterms:W3CDTF">2021-09-27T17:06:30Z</dcterms:created>
  <dcterms:modified xsi:type="dcterms:W3CDTF">2023-03-08T11:43:01Z</dcterms:modified>
</cp:coreProperties>
</file>